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 Approval Rates" sheetId="1" state="visible" r:id="rId3"/>
    <sheet name="Model Results" sheetId="2" state="visible" r:id="rId4"/>
  </sheets>
  <definedNames>
    <definedName function="false" hidden="true" localSheetId="0" name="_xlnm._FilterDatabase" vbProcedure="false">'Group Approval Rates'!$A$7:$G$53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<sst xmlns="http://schemas.openxmlformats.org/spreadsheetml/2006/main" count="198" uniqueCount="137">
  <si>
    <t xml:space="preserve">Approval rate by group (all variables)</t>
  </si>
  <si>
    <t xml:space="preserve">Total applications</t>
  </si>
  <si>
    <t xml:space="preserve">Blue = values counted from Loan.csv. Black = formulas. Quartile ranges are shown in the Range column.</t>
  </si>
  <si>
    <t xml:space="preserve">Total approved</t>
  </si>
  <si>
    <t xml:space="preserve">Approval rate = Approved / Applicants. Difference compares each group with the overall rate (percentage points).</t>
  </si>
  <si>
    <t xml:space="preserve">Overall approval rate</t>
  </si>
  <si>
    <t xml:space="preserve">Variable</t>
  </si>
  <si>
    <t xml:space="preserve">Group</t>
  </si>
  <si>
    <t xml:space="preserve">Range of values</t>
  </si>
  <si>
    <t xml:space="preserve">Applicants</t>
  </si>
  <si>
    <t xml:space="preserve">Approved</t>
  </si>
  <si>
    <t xml:space="preserve">Approval rate</t>
  </si>
  <si>
    <t xml:space="preserve">Difference vs overall (pts)</t>
  </si>
  <si>
    <t xml:space="preserve">Annual Income (USD)</t>
  </si>
  <si>
    <t xml:space="preserve">Lowest 25%</t>
  </si>
  <si>
    <t xml:space="preserve">15,000 to 31,676</t>
  </si>
  <si>
    <t xml:space="preserve">Lower-middle</t>
  </si>
  <si>
    <t xml:space="preserve">31,680 to 48,565</t>
  </si>
  <si>
    <t xml:space="preserve">Upper-middle</t>
  </si>
  <si>
    <t xml:space="preserve">48,567 to 74,388</t>
  </si>
  <si>
    <t xml:space="preserve">Highest 25%</t>
  </si>
  <si>
    <t xml:space="preserve">74,400 to 485,341</t>
  </si>
  <si>
    <t xml:space="preserve">Savings Account Balance (USD)</t>
  </si>
  <si>
    <t xml:space="preserve">73 to 1,541</t>
  </si>
  <si>
    <t xml:space="preserve">1,542 to 2,986</t>
  </si>
  <si>
    <t xml:space="preserve">2,987 to 5,873</t>
  </si>
  <si>
    <t xml:space="preserve">5,874 to 200,089</t>
  </si>
  <si>
    <t xml:space="preserve">Credit Score</t>
  </si>
  <si>
    <t xml:space="preserve">Below 450</t>
  </si>
  <si>
    <t xml:space="preserve">343 to 449</t>
  </si>
  <si>
    <t xml:space="preserve">450-499</t>
  </si>
  <si>
    <t xml:space="preserve">450 to 499</t>
  </si>
  <si>
    <t xml:space="preserve">500-549</t>
  </si>
  <si>
    <t xml:space="preserve">500 to 549</t>
  </si>
  <si>
    <t xml:space="preserve">550-599</t>
  </si>
  <si>
    <t xml:space="preserve">550 to 599</t>
  </si>
  <si>
    <t xml:space="preserve">600-649</t>
  </si>
  <si>
    <t xml:space="preserve">600 to 649</t>
  </si>
  <si>
    <t xml:space="preserve">650 and above</t>
  </si>
  <si>
    <t xml:space="preserve">650 to 712</t>
  </si>
  <si>
    <t xml:space="preserve">Assets to Liabilities Ratio</t>
  </si>
  <si>
    <t xml:space="preserve">Below 1 (owes more than owns)</t>
  </si>
  <si>
    <t xml:space="preserve">0.01 to 1.00</t>
  </si>
  <si>
    <t xml:space="preserve">1 to 2</t>
  </si>
  <si>
    <t xml:space="preserve">1.00 to 2.00</t>
  </si>
  <si>
    <t xml:space="preserve">2 to 5</t>
  </si>
  <si>
    <t xml:space="preserve">2.00 to 5.00</t>
  </si>
  <si>
    <t xml:space="preserve">Above 5</t>
  </si>
  <si>
    <t xml:space="preserve">5.00 to 559.49</t>
  </si>
  <si>
    <t xml:space="preserve">Job Tenure (years)</t>
  </si>
  <si>
    <t xml:space="preserve">0-1 yrs</t>
  </si>
  <si>
    <t xml:space="preserve">0 to 1</t>
  </si>
  <si>
    <t xml:space="preserve">2-3 yrs</t>
  </si>
  <si>
    <t xml:space="preserve">2 to 3</t>
  </si>
  <si>
    <t xml:space="preserve">4-5 yrs</t>
  </si>
  <si>
    <t xml:space="preserve">4 to 5</t>
  </si>
  <si>
    <t xml:space="preserve">6-10 yrs</t>
  </si>
  <si>
    <t xml:space="preserve">6 to 10</t>
  </si>
  <si>
    <t xml:space="preserve">10+ yrs</t>
  </si>
  <si>
    <t xml:space="preserve">11 to 16</t>
  </si>
  <si>
    <t xml:space="preserve">Employment Status</t>
  </si>
  <si>
    <t xml:space="preserve">Employed</t>
  </si>
  <si>
    <t xml:space="preserve">Category in the data</t>
  </si>
  <si>
    <t xml:space="preserve">Self-Employed</t>
  </si>
  <si>
    <t xml:space="preserve">Unemployed</t>
  </si>
  <si>
    <t xml:space="preserve">Home Ownership Status</t>
  </si>
  <si>
    <t xml:space="preserve">Mortgage</t>
  </si>
  <si>
    <t xml:space="preserve">Other</t>
  </si>
  <si>
    <t xml:space="preserve">Own</t>
  </si>
  <si>
    <t xml:space="preserve">Rent</t>
  </si>
  <si>
    <t xml:space="preserve">Loan Amount (USD)</t>
  </si>
  <si>
    <t xml:space="preserve">Smallest 25%</t>
  </si>
  <si>
    <t xml:space="preserve">3,674 to 15,575</t>
  </si>
  <si>
    <t xml:space="preserve">Small-middle</t>
  </si>
  <si>
    <t xml:space="preserve">15,578 to 21,914</t>
  </si>
  <si>
    <t xml:space="preserve">Large-middle</t>
  </si>
  <si>
    <t xml:space="preserve">21,915 to 30,835</t>
  </si>
  <si>
    <t xml:space="preserve">Largest 25%</t>
  </si>
  <si>
    <t xml:space="preserve">30,836 to 184,732</t>
  </si>
  <si>
    <t xml:space="preserve">Loan to Income Ratio</t>
  </si>
  <si>
    <t xml:space="preserve">0.03 to 0.26</t>
  </si>
  <si>
    <t xml:space="preserve">0.26 to 0.45</t>
  </si>
  <si>
    <t xml:space="preserve">0.45 to 0.78</t>
  </si>
  <si>
    <t xml:space="preserve">0.78 to 7.54</t>
  </si>
  <si>
    <t xml:space="preserve">Total Debt to Income Ratio</t>
  </si>
  <si>
    <t xml:space="preserve">0.02 to 0.18</t>
  </si>
  <si>
    <t xml:space="preserve">0.18 to 0.30</t>
  </si>
  <si>
    <t xml:space="preserve">0.30 to 0.51</t>
  </si>
  <si>
    <t xml:space="preserve">0.51 to 4.65</t>
  </si>
  <si>
    <t xml:space="preserve">Interest Rate</t>
  </si>
  <si>
    <t xml:space="preserve">0.113 to 0.209</t>
  </si>
  <si>
    <t xml:space="preserve">0.209 to 0.235</t>
  </si>
  <si>
    <t xml:space="preserve">0.235 to 0.266</t>
  </si>
  <si>
    <t xml:space="preserve">0.266 to 0.447</t>
  </si>
  <si>
    <t xml:space="preserve">Check: applicants in every variable add up to the total</t>
  </si>
  <si>
    <t xml:space="preserve">Variables counted:</t>
  </si>
  <si>
    <t xml:space="preserve">Logistic regression results (20% test set, 4,000 applications)</t>
  </si>
  <si>
    <t xml:space="preserve">Blue = taken from the model run on Loan.csv (random_state=42, stratified 80/20 split). Black = formulas. "With RiskScore" is for comparison only.</t>
  </si>
  <si>
    <t xml:space="preserve">Confusion matrix and metrics</t>
  </si>
  <si>
    <t xml:space="preserve">Without RiskScore</t>
  </si>
  <si>
    <t xml:space="preserve">With RiskScore</t>
  </si>
  <si>
    <t xml:space="preserve">Difference</t>
  </si>
  <si>
    <t xml:space="preserve">True rejected (correct)</t>
  </si>
  <si>
    <t xml:space="preserve">Wrongly predicted approved</t>
  </si>
  <si>
    <t xml:space="preserve">Missed approved loans</t>
  </si>
  <si>
    <t xml:space="preserve">True approved (correct)</t>
  </si>
  <si>
    <t xml:space="preserve">Total test applications</t>
  </si>
  <si>
    <t xml:space="preserve">Accuracy</t>
  </si>
  <si>
    <t xml:space="preserve">Precision</t>
  </si>
  <si>
    <t xml:space="preserve">Recall</t>
  </si>
  <si>
    <t xml:space="preserve">F1 score</t>
  </si>
  <si>
    <t xml:space="preserve">ROC AUC</t>
  </si>
  <si>
    <t xml:space="preserve">Baseline accuracy (always predict rejected)</t>
  </si>
  <si>
    <t xml:space="preserve">Gain over baseline (pts)</t>
  </si>
  <si>
    <t xml:space="preserve">Training accuracy without RiskScore was 88.0%, close to the test accuracy, so the model is not overfitting.</t>
  </si>
  <si>
    <t xml:space="preserve">Cut-off table (model without RiskScore)</t>
  </si>
  <si>
    <t xml:space="preserve">Cut-off</t>
  </si>
  <si>
    <t xml:space="preserve">Check: 0.5 row matches the table above</t>
  </si>
  <si>
    <t xml:space="preserve">Coefficients (variables scaled, model without RiskScore)</t>
  </si>
  <si>
    <t xml:space="preserve">Coefficient</t>
  </si>
  <si>
    <t xml:space="preserve">Pushes towards</t>
  </si>
  <si>
    <t xml:space="preserve">Strength rank (1 = strongest)</t>
  </si>
  <si>
    <t xml:space="preserve">Absolute value</t>
  </si>
  <si>
    <t xml:space="preserve">LoanToIncome</t>
  </si>
  <si>
    <t xml:space="preserve">TotalDebtToIncomeRatio</t>
  </si>
  <si>
    <t xml:space="preserve">LoanAmount</t>
  </si>
  <si>
    <t xml:space="preserve">EmploymentStatus_Unemployed</t>
  </si>
  <si>
    <t xml:space="preserve">HomeOwnershipStatus_Rent</t>
  </si>
  <si>
    <t xml:space="preserve">HomeOwnershipStatus_Other</t>
  </si>
  <si>
    <t xml:space="preserve">HomeOwnershipStatus_Own</t>
  </si>
  <si>
    <t xml:space="preserve">SavingsAccountBalance</t>
  </si>
  <si>
    <t xml:space="preserve">JobTenure</t>
  </si>
  <si>
    <t xml:space="preserve">EmploymentStatus_Self-Employed</t>
  </si>
  <si>
    <t xml:space="preserve">CreditScore</t>
  </si>
  <si>
    <t xml:space="preserve">AssetLiabilityRatio</t>
  </si>
  <si>
    <t xml:space="preserve">AnnualIncome</t>
  </si>
  <si>
    <t xml:space="preserve">Income, loan amount and loan to income overlap, so read their individual coefficients with care.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</si>
</sst>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+0.0;\-0.0;0.0"/>
    <numFmt numFmtId="168" formatCode="0"/>
    <numFmt numFmtId="169" formatCode="General"/>
    <numFmt numFmtId="170" formatCode="0.000"/>
    <numFmt numFmtId="171" formatCode="0.0"/>
    <numFmt numFmtId="172" formatCode="0.00;\-0.00;0.00"/>
    <numFmt numFmtId="173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20000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n">
        <v>4780</v>
      </c>
      <c r="D4" s="4" t="s">
        <v>4</v>
      </c>
    </row>
    <row r="5" customFormat="false" ht="15" hidden="false" customHeight="false" outlineLevel="0" collapsed="false">
      <c r="A5" s="2" t="s">
        <v>5</v>
      </c>
      <c r="B5" s="5" t="n">
        <f aca="false">B4/B3</f>
        <v>0.239</v>
      </c>
    </row>
    <row r="7" customFormat="false" ht="23.85" hidden="false" customHeight="fals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</row>
    <row r="8" customFormat="false" ht="15" hidden="false" customHeight="false" outlineLevel="0" collapsed="false">
      <c r="A8" s="7" t="s">
        <v>13</v>
      </c>
      <c r="B8" s="7" t="s">
        <v>14</v>
      </c>
      <c r="C8" s="7" t="s">
        <v>15</v>
      </c>
      <c r="D8" s="8" t="n">
        <v>5000</v>
      </c>
      <c r="E8" s="8" t="n">
        <v>52</v>
      </c>
      <c r="F8" s="9" t="n">
        <f aca="false">E8/D8</f>
        <v>0.0104</v>
      </c>
      <c r="G8" s="10" t="n">
        <f aca="false">(F8-$B$5)*100</f>
        <v>-22.86</v>
      </c>
    </row>
    <row r="9" customFormat="false" ht="15" hidden="false" customHeight="false" outlineLevel="0" collapsed="false">
      <c r="A9" s="7" t="s">
        <v>13</v>
      </c>
      <c r="B9" s="7" t="s">
        <v>16</v>
      </c>
      <c r="C9" s="7" t="s">
        <v>17</v>
      </c>
      <c r="D9" s="8" t="n">
        <v>5000</v>
      </c>
      <c r="E9" s="8" t="n">
        <v>342</v>
      </c>
      <c r="F9" s="9" t="n">
        <f aca="false">E9/D9</f>
        <v>0.0684</v>
      </c>
      <c r="G9" s="10" t="n">
        <f aca="false">(F9-$B$5)*100</f>
        <v>-17.06</v>
      </c>
    </row>
    <row r="10" customFormat="false" ht="15" hidden="false" customHeight="false" outlineLevel="0" collapsed="false">
      <c r="A10" s="7" t="s">
        <v>13</v>
      </c>
      <c r="B10" s="7" t="s">
        <v>18</v>
      </c>
      <c r="C10" s="7" t="s">
        <v>19</v>
      </c>
      <c r="D10" s="8" t="n">
        <v>5000</v>
      </c>
      <c r="E10" s="8" t="n">
        <v>1163</v>
      </c>
      <c r="F10" s="9" t="n">
        <f aca="false">E10/D10</f>
        <v>0.2326</v>
      </c>
      <c r="G10" s="10" t="n">
        <f aca="false">(F10-$B$5)*100</f>
        <v>-0.639999999999999</v>
      </c>
    </row>
    <row r="11" customFormat="false" ht="15" hidden="false" customHeight="false" outlineLevel="0" collapsed="false">
      <c r="A11" s="7" t="s">
        <v>13</v>
      </c>
      <c r="B11" s="7" t="s">
        <v>20</v>
      </c>
      <c r="C11" s="7" t="s">
        <v>21</v>
      </c>
      <c r="D11" s="8" t="n">
        <v>5000</v>
      </c>
      <c r="E11" s="8" t="n">
        <v>3223</v>
      </c>
      <c r="F11" s="9" t="n">
        <f aca="false">E11/D11</f>
        <v>0.6446</v>
      </c>
      <c r="G11" s="10" t="n">
        <f aca="false">(F11-$B$5)*100</f>
        <v>40.56</v>
      </c>
    </row>
    <row r="12" customFormat="false" ht="26.85" hidden="false" customHeight="false" outlineLevel="0" collapsed="false">
      <c r="A12" s="7" t="s">
        <v>22</v>
      </c>
      <c r="B12" s="7" t="s">
        <v>14</v>
      </c>
      <c r="C12" s="7" t="s">
        <v>23</v>
      </c>
      <c r="D12" s="8" t="n">
        <v>5000</v>
      </c>
      <c r="E12" s="8" t="n">
        <v>1140</v>
      </c>
      <c r="F12" s="9" t="n">
        <f aca="false">E12/D12</f>
        <v>0.228</v>
      </c>
      <c r="G12" s="10" t="n">
        <f aca="false">(F12-$B$5)*100</f>
        <v>-1.1</v>
      </c>
    </row>
    <row r="13" customFormat="false" ht="26.85" hidden="false" customHeight="false" outlineLevel="0" collapsed="false">
      <c r="A13" s="7" t="s">
        <v>22</v>
      </c>
      <c r="B13" s="7" t="s">
        <v>16</v>
      </c>
      <c r="C13" s="7" t="s">
        <v>24</v>
      </c>
      <c r="D13" s="8" t="n">
        <v>5001</v>
      </c>
      <c r="E13" s="8" t="n">
        <v>1216</v>
      </c>
      <c r="F13" s="9" t="n">
        <f aca="false">E13/D13</f>
        <v>0.243151369726055</v>
      </c>
      <c r="G13" s="10" t="n">
        <f aca="false">(F13-$B$5)*100</f>
        <v>0.415136972605479</v>
      </c>
    </row>
    <row r="14" customFormat="false" ht="26.85" hidden="false" customHeight="false" outlineLevel="0" collapsed="false">
      <c r="A14" s="7" t="s">
        <v>22</v>
      </c>
      <c r="B14" s="7" t="s">
        <v>18</v>
      </c>
      <c r="C14" s="7" t="s">
        <v>25</v>
      </c>
      <c r="D14" s="8" t="n">
        <v>4999</v>
      </c>
      <c r="E14" s="8" t="n">
        <v>1214</v>
      </c>
      <c r="F14" s="9" t="n">
        <f aca="false">E14/D14</f>
        <v>0.242848569713943</v>
      </c>
      <c r="G14" s="10" t="n">
        <f aca="false">(F14-$B$5)*100</f>
        <v>0.384856971394279</v>
      </c>
    </row>
    <row r="15" customFormat="false" ht="26.85" hidden="false" customHeight="false" outlineLevel="0" collapsed="false">
      <c r="A15" s="7" t="s">
        <v>22</v>
      </c>
      <c r="B15" s="7" t="s">
        <v>20</v>
      </c>
      <c r="C15" s="7" t="s">
        <v>26</v>
      </c>
      <c r="D15" s="8" t="n">
        <v>5000</v>
      </c>
      <c r="E15" s="8" t="n">
        <v>1210</v>
      </c>
      <c r="F15" s="9" t="n">
        <f aca="false">E15/D15</f>
        <v>0.242</v>
      </c>
      <c r="G15" s="10" t="n">
        <f aca="false">(F15-$B$5)*100</f>
        <v>0.3</v>
      </c>
    </row>
    <row r="16" customFormat="false" ht="15" hidden="false" customHeight="false" outlineLevel="0" collapsed="false">
      <c r="A16" s="7" t="s">
        <v>27</v>
      </c>
      <c r="B16" s="7" t="s">
        <v>28</v>
      </c>
      <c r="C16" s="7" t="s">
        <v>29</v>
      </c>
      <c r="D16" s="8" t="n">
        <v>396</v>
      </c>
      <c r="E16" s="8" t="n">
        <v>55</v>
      </c>
      <c r="F16" s="9" t="n">
        <f aca="false">E16/D16</f>
        <v>0.138888888888889</v>
      </c>
      <c r="G16" s="10" t="n">
        <f aca="false">(F16-$B$5)*100</f>
        <v>-10.0111111111111</v>
      </c>
    </row>
    <row r="17" customFormat="false" ht="15" hidden="false" customHeight="false" outlineLevel="0" collapsed="false">
      <c r="A17" s="7" t="s">
        <v>27</v>
      </c>
      <c r="B17" s="7" t="s">
        <v>30</v>
      </c>
      <c r="C17" s="7" t="s">
        <v>31</v>
      </c>
      <c r="D17" s="8" t="n">
        <v>1495</v>
      </c>
      <c r="E17" s="8" t="n">
        <v>226</v>
      </c>
      <c r="F17" s="9" t="n">
        <f aca="false">E17/D17</f>
        <v>0.151170568561873</v>
      </c>
      <c r="G17" s="10" t="n">
        <f aca="false">(F17-$B$5)*100</f>
        <v>-8.78294314381271</v>
      </c>
    </row>
    <row r="18" customFormat="false" ht="15" hidden="false" customHeight="false" outlineLevel="0" collapsed="false">
      <c r="A18" s="7" t="s">
        <v>27</v>
      </c>
      <c r="B18" s="7" t="s">
        <v>32</v>
      </c>
      <c r="C18" s="7" t="s">
        <v>33</v>
      </c>
      <c r="D18" s="8" t="n">
        <v>4129</v>
      </c>
      <c r="E18" s="8" t="n">
        <v>801</v>
      </c>
      <c r="F18" s="9" t="n">
        <f aca="false">E18/D18</f>
        <v>0.193993703075805</v>
      </c>
      <c r="G18" s="10" t="n">
        <f aca="false">(F18-$B$5)*100</f>
        <v>-4.50062969241947</v>
      </c>
    </row>
    <row r="19" customFormat="false" ht="15" hidden="false" customHeight="false" outlineLevel="0" collapsed="false">
      <c r="A19" s="7" t="s">
        <v>27</v>
      </c>
      <c r="B19" s="7" t="s">
        <v>34</v>
      </c>
      <c r="C19" s="7" t="s">
        <v>35</v>
      </c>
      <c r="D19" s="8" t="n">
        <v>7450</v>
      </c>
      <c r="E19" s="8" t="n">
        <v>1641</v>
      </c>
      <c r="F19" s="9" t="n">
        <f aca="false">E19/D19</f>
        <v>0.220268456375839</v>
      </c>
      <c r="G19" s="10" t="n">
        <f aca="false">(F19-$B$5)*100</f>
        <v>-1.87315436241611</v>
      </c>
    </row>
    <row r="20" customFormat="false" ht="15" hidden="false" customHeight="false" outlineLevel="0" collapsed="false">
      <c r="A20" s="7" t="s">
        <v>27</v>
      </c>
      <c r="B20" s="7" t="s">
        <v>36</v>
      </c>
      <c r="C20" s="7" t="s">
        <v>37</v>
      </c>
      <c r="D20" s="8" t="n">
        <v>5809</v>
      </c>
      <c r="E20" s="8" t="n">
        <v>1736</v>
      </c>
      <c r="F20" s="9" t="n">
        <f aca="false">E20/D20</f>
        <v>0.298846617317955</v>
      </c>
      <c r="G20" s="10" t="n">
        <f aca="false">(F20-$B$5)*100</f>
        <v>5.98466173179549</v>
      </c>
    </row>
    <row r="21" customFormat="false" ht="15" hidden="false" customHeight="false" outlineLevel="0" collapsed="false">
      <c r="A21" s="7" t="s">
        <v>27</v>
      </c>
      <c r="B21" s="7" t="s">
        <v>38</v>
      </c>
      <c r="C21" s="7" t="s">
        <v>39</v>
      </c>
      <c r="D21" s="8" t="n">
        <v>721</v>
      </c>
      <c r="E21" s="8" t="n">
        <v>321</v>
      </c>
      <c r="F21" s="9" t="n">
        <f aca="false">E21/D21</f>
        <v>0.445214979195562</v>
      </c>
      <c r="G21" s="10" t="n">
        <f aca="false">(F21-$B$5)*100</f>
        <v>20.6214979195562</v>
      </c>
    </row>
    <row r="22" customFormat="false" ht="26.85" hidden="false" customHeight="false" outlineLevel="0" collapsed="false">
      <c r="A22" s="7" t="s">
        <v>40</v>
      </c>
      <c r="B22" s="7" t="s">
        <v>41</v>
      </c>
      <c r="C22" s="7" t="s">
        <v>42</v>
      </c>
      <c r="D22" s="8" t="n">
        <v>4629</v>
      </c>
      <c r="E22" s="8" t="n">
        <v>849</v>
      </c>
      <c r="F22" s="9" t="n">
        <f aca="false">E22/D22</f>
        <v>0.183408943616332</v>
      </c>
      <c r="G22" s="10" t="n">
        <f aca="false">(F22-$B$5)*100</f>
        <v>-5.55910563836682</v>
      </c>
    </row>
    <row r="23" customFormat="false" ht="15" hidden="false" customHeight="false" outlineLevel="0" collapsed="false">
      <c r="A23" s="7" t="s">
        <v>40</v>
      </c>
      <c r="B23" s="7" t="s">
        <v>43</v>
      </c>
      <c r="C23" s="7" t="s">
        <v>44</v>
      </c>
      <c r="D23" s="8" t="n">
        <v>3546</v>
      </c>
      <c r="E23" s="8" t="n">
        <v>700</v>
      </c>
      <c r="F23" s="9" t="n">
        <f aca="false">E23/D23</f>
        <v>0.197405527354766</v>
      </c>
      <c r="G23" s="10" t="n">
        <f aca="false">(F23-$B$5)*100</f>
        <v>-4.15944726452341</v>
      </c>
    </row>
    <row r="24" customFormat="false" ht="15" hidden="false" customHeight="false" outlineLevel="0" collapsed="false">
      <c r="A24" s="7" t="s">
        <v>40</v>
      </c>
      <c r="B24" s="7" t="s">
        <v>45</v>
      </c>
      <c r="C24" s="7" t="s">
        <v>46</v>
      </c>
      <c r="D24" s="8" t="n">
        <v>5129</v>
      </c>
      <c r="E24" s="8" t="n">
        <v>1204</v>
      </c>
      <c r="F24" s="9" t="n">
        <f aca="false">E24/D24</f>
        <v>0.234743614739715</v>
      </c>
      <c r="G24" s="10" t="n">
        <f aca="false">(F24-$B$5)*100</f>
        <v>-0.425638526028466</v>
      </c>
    </row>
    <row r="25" customFormat="false" ht="15" hidden="false" customHeight="false" outlineLevel="0" collapsed="false">
      <c r="A25" s="7" t="s">
        <v>40</v>
      </c>
      <c r="B25" s="7" t="s">
        <v>47</v>
      </c>
      <c r="C25" s="7" t="s">
        <v>48</v>
      </c>
      <c r="D25" s="8" t="n">
        <v>6696</v>
      </c>
      <c r="E25" s="8" t="n">
        <v>2027</v>
      </c>
      <c r="F25" s="9" t="n">
        <f aca="false">E25/D25</f>
        <v>0.302718040621266</v>
      </c>
      <c r="G25" s="10" t="n">
        <f aca="false">(F25-$B$5)*100</f>
        <v>6.37180406212665</v>
      </c>
    </row>
    <row r="26" customFormat="false" ht="15" hidden="false" customHeight="false" outlineLevel="0" collapsed="false">
      <c r="A26" s="7" t="s">
        <v>49</v>
      </c>
      <c r="B26" s="7" t="s">
        <v>50</v>
      </c>
      <c r="C26" s="7" t="s">
        <v>51</v>
      </c>
      <c r="D26" s="8" t="n">
        <v>804</v>
      </c>
      <c r="E26" s="8" t="n">
        <v>180</v>
      </c>
      <c r="F26" s="9" t="n">
        <f aca="false">E26/D26</f>
        <v>0.223880597014925</v>
      </c>
      <c r="G26" s="10" t="n">
        <f aca="false">(F26-$B$5)*100</f>
        <v>-1.51194029850746</v>
      </c>
    </row>
    <row r="27" customFormat="false" ht="15" hidden="false" customHeight="false" outlineLevel="0" collapsed="false">
      <c r="A27" s="7" t="s">
        <v>49</v>
      </c>
      <c r="B27" s="7" t="s">
        <v>52</v>
      </c>
      <c r="C27" s="7" t="s">
        <v>53</v>
      </c>
      <c r="D27" s="8" t="n">
        <v>4434</v>
      </c>
      <c r="E27" s="8" t="n">
        <v>1041</v>
      </c>
      <c r="F27" s="9" t="n">
        <f aca="false">E27/D27</f>
        <v>0.234776725304466</v>
      </c>
      <c r="G27" s="10" t="n">
        <f aca="false">(F27-$B$5)*100</f>
        <v>-0.422327469553449</v>
      </c>
    </row>
    <row r="28" customFormat="false" ht="15" hidden="false" customHeight="false" outlineLevel="0" collapsed="false">
      <c r="A28" s="7" t="s">
        <v>49</v>
      </c>
      <c r="B28" s="7" t="s">
        <v>54</v>
      </c>
      <c r="C28" s="7" t="s">
        <v>55</v>
      </c>
      <c r="D28" s="8" t="n">
        <v>7137</v>
      </c>
      <c r="E28" s="8" t="n">
        <v>1748</v>
      </c>
      <c r="F28" s="9" t="n">
        <f aca="false">E28/D28</f>
        <v>0.24492083508477</v>
      </c>
      <c r="G28" s="10" t="n">
        <f aca="false">(F28-$B$5)*100</f>
        <v>0.592083508476951</v>
      </c>
    </row>
    <row r="29" customFormat="false" ht="15" hidden="false" customHeight="false" outlineLevel="0" collapsed="false">
      <c r="A29" s="7" t="s">
        <v>49</v>
      </c>
      <c r="B29" s="7" t="s">
        <v>56</v>
      </c>
      <c r="C29" s="7" t="s">
        <v>57</v>
      </c>
      <c r="D29" s="8" t="n">
        <v>7374</v>
      </c>
      <c r="E29" s="8" t="n">
        <v>1748</v>
      </c>
      <c r="F29" s="9" t="n">
        <f aca="false">E29/D29</f>
        <v>0.237049091402224</v>
      </c>
      <c r="G29" s="10" t="n">
        <f aca="false">(F29-$B$5)*100</f>
        <v>-0.195090859777597</v>
      </c>
    </row>
    <row r="30" customFormat="false" ht="15" hidden="false" customHeight="false" outlineLevel="0" collapsed="false">
      <c r="A30" s="7" t="s">
        <v>49</v>
      </c>
      <c r="B30" s="7" t="s">
        <v>58</v>
      </c>
      <c r="C30" s="7" t="s">
        <v>59</v>
      </c>
      <c r="D30" s="8" t="n">
        <v>251</v>
      </c>
      <c r="E30" s="8" t="n">
        <v>63</v>
      </c>
      <c r="F30" s="9" t="n">
        <f aca="false">E30/D30</f>
        <v>0.250996015936255</v>
      </c>
      <c r="G30" s="10" t="n">
        <f aca="false">(F30-$B$5)*100</f>
        <v>1.1996015936255</v>
      </c>
    </row>
    <row r="31" customFormat="false" ht="15" hidden="false" customHeight="false" outlineLevel="0" collapsed="false">
      <c r="A31" s="7" t="s">
        <v>60</v>
      </c>
      <c r="B31" s="7" t="s">
        <v>61</v>
      </c>
      <c r="C31" s="7" t="s">
        <v>62</v>
      </c>
      <c r="D31" s="8" t="n">
        <v>17036</v>
      </c>
      <c r="E31" s="8" t="n">
        <v>4089</v>
      </c>
      <c r="F31" s="9" t="n">
        <f aca="false">E31/D31</f>
        <v>0.240021131721061</v>
      </c>
      <c r="G31" s="10" t="n">
        <f aca="false">(F31-$B$5)*100</f>
        <v>0.10211317210613</v>
      </c>
    </row>
    <row r="32" customFormat="false" ht="15" hidden="false" customHeight="false" outlineLevel="0" collapsed="false">
      <c r="A32" s="7" t="s">
        <v>60</v>
      </c>
      <c r="B32" s="7" t="s">
        <v>63</v>
      </c>
      <c r="C32" s="7" t="s">
        <v>62</v>
      </c>
      <c r="D32" s="8" t="n">
        <v>1573</v>
      </c>
      <c r="E32" s="8" t="n">
        <v>438</v>
      </c>
      <c r="F32" s="9" t="n">
        <f aca="false">E32/D32</f>
        <v>0.278448823903369</v>
      </c>
      <c r="G32" s="10" t="n">
        <f aca="false">(F32-$B$5)*100</f>
        <v>3.94488239033693</v>
      </c>
    </row>
    <row r="33" customFormat="false" ht="15" hidden="false" customHeight="false" outlineLevel="0" collapsed="false">
      <c r="A33" s="7" t="s">
        <v>60</v>
      </c>
      <c r="B33" s="7" t="s">
        <v>64</v>
      </c>
      <c r="C33" s="7" t="s">
        <v>62</v>
      </c>
      <c r="D33" s="8" t="n">
        <v>1391</v>
      </c>
      <c r="E33" s="8" t="n">
        <v>253</v>
      </c>
      <c r="F33" s="9" t="n">
        <f aca="false">E33/D33</f>
        <v>0.181883537023724</v>
      </c>
      <c r="G33" s="10" t="n">
        <f aca="false">(F33-$B$5)*100</f>
        <v>-5.7116462976276</v>
      </c>
    </row>
    <row r="34" customFormat="false" ht="15" hidden="false" customHeight="false" outlineLevel="0" collapsed="false">
      <c r="A34" s="7" t="s">
        <v>65</v>
      </c>
      <c r="B34" s="7" t="s">
        <v>66</v>
      </c>
      <c r="C34" s="7" t="s">
        <v>62</v>
      </c>
      <c r="D34" s="8" t="n">
        <v>7939</v>
      </c>
      <c r="E34" s="8" t="n">
        <v>1997</v>
      </c>
      <c r="F34" s="9" t="n">
        <f aca="false">E34/D34</f>
        <v>0.251543015493135</v>
      </c>
      <c r="G34" s="10" t="n">
        <f aca="false">(F34-$B$5)*100</f>
        <v>1.25430154931352</v>
      </c>
    </row>
    <row r="35" customFormat="false" ht="15" hidden="false" customHeight="false" outlineLevel="0" collapsed="false">
      <c r="A35" s="7" t="s">
        <v>65</v>
      </c>
      <c r="B35" s="7" t="s">
        <v>67</v>
      </c>
      <c r="C35" s="7" t="s">
        <v>62</v>
      </c>
      <c r="D35" s="8" t="n">
        <v>2036</v>
      </c>
      <c r="E35" s="8" t="n">
        <v>417</v>
      </c>
      <c r="F35" s="9" t="n">
        <f aca="false">E35/D35</f>
        <v>0.204813359528487</v>
      </c>
      <c r="G35" s="10" t="n">
        <f aca="false">(F35-$B$5)*100</f>
        <v>-3.41866404715128</v>
      </c>
    </row>
    <row r="36" customFormat="false" ht="15" hidden="false" customHeight="false" outlineLevel="0" collapsed="false">
      <c r="A36" s="7" t="s">
        <v>65</v>
      </c>
      <c r="B36" s="7" t="s">
        <v>68</v>
      </c>
      <c r="C36" s="7" t="s">
        <v>62</v>
      </c>
      <c r="D36" s="8" t="n">
        <v>3938</v>
      </c>
      <c r="E36" s="8" t="n">
        <v>980</v>
      </c>
      <c r="F36" s="9" t="n">
        <f aca="false">E36/D36</f>
        <v>0.248857287963433</v>
      </c>
      <c r="G36" s="10" t="n">
        <f aca="false">(F36-$B$5)*100</f>
        <v>0.985728796343321</v>
      </c>
    </row>
    <row r="37" customFormat="false" ht="15" hidden="false" customHeight="false" outlineLevel="0" collapsed="false">
      <c r="A37" s="7" t="s">
        <v>65</v>
      </c>
      <c r="B37" s="7" t="s">
        <v>69</v>
      </c>
      <c r="C37" s="7" t="s">
        <v>62</v>
      </c>
      <c r="D37" s="8" t="n">
        <v>6087</v>
      </c>
      <c r="E37" s="8" t="n">
        <v>1386</v>
      </c>
      <c r="F37" s="9" t="n">
        <f aca="false">E37/D37</f>
        <v>0.227698373583046</v>
      </c>
      <c r="G37" s="10" t="n">
        <f aca="false">(F37-$B$5)*100</f>
        <v>-1.13016264169541</v>
      </c>
    </row>
    <row r="38" customFormat="false" ht="15" hidden="false" customHeight="false" outlineLevel="0" collapsed="false">
      <c r="A38" s="7" t="s">
        <v>70</v>
      </c>
      <c r="B38" s="7" t="s">
        <v>71</v>
      </c>
      <c r="C38" s="7" t="s">
        <v>72</v>
      </c>
      <c r="D38" s="8" t="n">
        <v>5001</v>
      </c>
      <c r="E38" s="8" t="n">
        <v>1964</v>
      </c>
      <c r="F38" s="9" t="n">
        <f aca="false">E38/D38</f>
        <v>0.392721455708858</v>
      </c>
      <c r="G38" s="10" t="n">
        <f aca="false">(F38-$B$5)*100</f>
        <v>15.3721455708858</v>
      </c>
    </row>
    <row r="39" customFormat="false" ht="15" hidden="false" customHeight="false" outlineLevel="0" collapsed="false">
      <c r="A39" s="7" t="s">
        <v>70</v>
      </c>
      <c r="B39" s="7" t="s">
        <v>73</v>
      </c>
      <c r="C39" s="7" t="s">
        <v>74</v>
      </c>
      <c r="D39" s="8" t="n">
        <v>4999</v>
      </c>
      <c r="E39" s="8" t="n">
        <v>1345</v>
      </c>
      <c r="F39" s="9" t="n">
        <f aca="false">E39/D39</f>
        <v>0.269053810762152</v>
      </c>
      <c r="G39" s="10" t="n">
        <f aca="false">(F39-$B$5)*100</f>
        <v>3.00538107621525</v>
      </c>
    </row>
    <row r="40" customFormat="false" ht="15" hidden="false" customHeight="false" outlineLevel="0" collapsed="false">
      <c r="A40" s="7" t="s">
        <v>70</v>
      </c>
      <c r="B40" s="7" t="s">
        <v>75</v>
      </c>
      <c r="C40" s="7" t="s">
        <v>76</v>
      </c>
      <c r="D40" s="8" t="n">
        <v>5001</v>
      </c>
      <c r="E40" s="8" t="n">
        <v>1018</v>
      </c>
      <c r="F40" s="9" t="n">
        <f aca="false">E40/D40</f>
        <v>0.203559288142372</v>
      </c>
      <c r="G40" s="10" t="n">
        <f aca="false">(F40-$B$5)*100</f>
        <v>-3.54407118576285</v>
      </c>
    </row>
    <row r="41" customFormat="false" ht="15" hidden="false" customHeight="false" outlineLevel="0" collapsed="false">
      <c r="A41" s="7" t="s">
        <v>70</v>
      </c>
      <c r="B41" s="7" t="s">
        <v>77</v>
      </c>
      <c r="C41" s="7" t="s">
        <v>78</v>
      </c>
      <c r="D41" s="8" t="n">
        <v>4999</v>
      </c>
      <c r="E41" s="8" t="n">
        <v>453</v>
      </c>
      <c r="F41" s="9" t="n">
        <f aca="false">E41/D41</f>
        <v>0.090618123624725</v>
      </c>
      <c r="G41" s="10" t="n">
        <f aca="false">(F41-$B$5)*100</f>
        <v>-14.8381876375275</v>
      </c>
    </row>
    <row r="42" customFormat="false" ht="15" hidden="false" customHeight="false" outlineLevel="0" collapsed="false">
      <c r="A42" s="7" t="s">
        <v>79</v>
      </c>
      <c r="B42" s="7" t="s">
        <v>14</v>
      </c>
      <c r="C42" s="7" t="s">
        <v>80</v>
      </c>
      <c r="D42" s="8" t="n">
        <v>5000</v>
      </c>
      <c r="E42" s="8" t="n">
        <v>3431</v>
      </c>
      <c r="F42" s="9" t="n">
        <f aca="false">E42/D42</f>
        <v>0.6862</v>
      </c>
      <c r="G42" s="10" t="n">
        <f aca="false">(F42-$B$5)*100</f>
        <v>44.72</v>
      </c>
    </row>
    <row r="43" customFormat="false" ht="15" hidden="false" customHeight="false" outlineLevel="0" collapsed="false">
      <c r="A43" s="7" t="s">
        <v>79</v>
      </c>
      <c r="B43" s="7" t="s">
        <v>16</v>
      </c>
      <c r="C43" s="7" t="s">
        <v>81</v>
      </c>
      <c r="D43" s="8" t="n">
        <v>5000</v>
      </c>
      <c r="E43" s="8" t="n">
        <v>1149</v>
      </c>
      <c r="F43" s="9" t="n">
        <f aca="false">E43/D43</f>
        <v>0.2298</v>
      </c>
      <c r="G43" s="10" t="n">
        <f aca="false">(F43-$B$5)*100</f>
        <v>-0.919999999999999</v>
      </c>
    </row>
    <row r="44" customFormat="false" ht="15" hidden="false" customHeight="false" outlineLevel="0" collapsed="false">
      <c r="A44" s="7" t="s">
        <v>79</v>
      </c>
      <c r="B44" s="7" t="s">
        <v>18</v>
      </c>
      <c r="C44" s="7" t="s">
        <v>82</v>
      </c>
      <c r="D44" s="8" t="n">
        <v>5000</v>
      </c>
      <c r="E44" s="8" t="n">
        <v>184</v>
      </c>
      <c r="F44" s="9" t="n">
        <f aca="false">E44/D44</f>
        <v>0.0368</v>
      </c>
      <c r="G44" s="10" t="n">
        <f aca="false">(F44-$B$5)*100</f>
        <v>-20.22</v>
      </c>
    </row>
    <row r="45" customFormat="false" ht="15" hidden="false" customHeight="false" outlineLevel="0" collapsed="false">
      <c r="A45" s="7" t="s">
        <v>79</v>
      </c>
      <c r="B45" s="7" t="s">
        <v>20</v>
      </c>
      <c r="C45" s="7" t="s">
        <v>83</v>
      </c>
      <c r="D45" s="8" t="n">
        <v>5000</v>
      </c>
      <c r="E45" s="8" t="n">
        <v>16</v>
      </c>
      <c r="F45" s="9" t="n">
        <f aca="false">E45/D45</f>
        <v>0.0032</v>
      </c>
      <c r="G45" s="10" t="n">
        <f aca="false">(F45-$B$5)*100</f>
        <v>-23.58</v>
      </c>
    </row>
    <row r="46" customFormat="false" ht="15" hidden="false" customHeight="false" outlineLevel="0" collapsed="false">
      <c r="A46" s="7" t="s">
        <v>84</v>
      </c>
      <c r="B46" s="7" t="s">
        <v>14</v>
      </c>
      <c r="C46" s="7" t="s">
        <v>85</v>
      </c>
      <c r="D46" s="8" t="n">
        <v>5000</v>
      </c>
      <c r="E46" s="8" t="n">
        <v>3374</v>
      </c>
      <c r="F46" s="9" t="n">
        <f aca="false">E46/D46</f>
        <v>0.6748</v>
      </c>
      <c r="G46" s="10" t="n">
        <f aca="false">(F46-$B$5)*100</f>
        <v>43.58</v>
      </c>
    </row>
    <row r="47" customFormat="false" ht="15" hidden="false" customHeight="false" outlineLevel="0" collapsed="false">
      <c r="A47" s="7" t="s">
        <v>84</v>
      </c>
      <c r="B47" s="7" t="s">
        <v>16</v>
      </c>
      <c r="C47" s="7" t="s">
        <v>86</v>
      </c>
      <c r="D47" s="8" t="n">
        <v>5000</v>
      </c>
      <c r="E47" s="8" t="n">
        <v>1146</v>
      </c>
      <c r="F47" s="9" t="n">
        <f aca="false">E47/D47</f>
        <v>0.2292</v>
      </c>
      <c r="G47" s="10" t="n">
        <f aca="false">(F47-$B$5)*100</f>
        <v>-0.98</v>
      </c>
    </row>
    <row r="48" customFormat="false" ht="15" hidden="false" customHeight="false" outlineLevel="0" collapsed="false">
      <c r="A48" s="7" t="s">
        <v>84</v>
      </c>
      <c r="B48" s="7" t="s">
        <v>18</v>
      </c>
      <c r="C48" s="7" t="s">
        <v>87</v>
      </c>
      <c r="D48" s="8" t="n">
        <v>5000</v>
      </c>
      <c r="E48" s="8" t="n">
        <v>236</v>
      </c>
      <c r="F48" s="9" t="n">
        <f aca="false">E48/D48</f>
        <v>0.0472</v>
      </c>
      <c r="G48" s="10" t="n">
        <f aca="false">(F48-$B$5)*100</f>
        <v>-19.18</v>
      </c>
    </row>
    <row r="49" customFormat="false" ht="15" hidden="false" customHeight="false" outlineLevel="0" collapsed="false">
      <c r="A49" s="7" t="s">
        <v>84</v>
      </c>
      <c r="B49" s="7" t="s">
        <v>20</v>
      </c>
      <c r="C49" s="7" t="s">
        <v>88</v>
      </c>
      <c r="D49" s="8" t="n">
        <v>5000</v>
      </c>
      <c r="E49" s="8" t="n">
        <v>24</v>
      </c>
      <c r="F49" s="9" t="n">
        <f aca="false">E49/D49</f>
        <v>0.0048</v>
      </c>
      <c r="G49" s="10" t="n">
        <f aca="false">(F49-$B$5)*100</f>
        <v>-23.42</v>
      </c>
    </row>
    <row r="50" customFormat="false" ht="15" hidden="false" customHeight="false" outlineLevel="0" collapsed="false">
      <c r="A50" s="7" t="s">
        <v>89</v>
      </c>
      <c r="B50" s="7" t="s">
        <v>14</v>
      </c>
      <c r="C50" s="7" t="s">
        <v>90</v>
      </c>
      <c r="D50" s="8" t="n">
        <v>5000</v>
      </c>
      <c r="E50" s="8" t="n">
        <v>2129</v>
      </c>
      <c r="F50" s="9" t="n">
        <f aca="false">E50/D50</f>
        <v>0.4258</v>
      </c>
      <c r="G50" s="10" t="n">
        <f aca="false">(F50-$B$5)*100</f>
        <v>18.68</v>
      </c>
    </row>
    <row r="51" customFormat="false" ht="15" hidden="false" customHeight="false" outlineLevel="0" collapsed="false">
      <c r="A51" s="7" t="s">
        <v>89</v>
      </c>
      <c r="B51" s="7" t="s">
        <v>16</v>
      </c>
      <c r="C51" s="7" t="s">
        <v>91</v>
      </c>
      <c r="D51" s="8" t="n">
        <v>5000</v>
      </c>
      <c r="E51" s="8" t="n">
        <v>1368</v>
      </c>
      <c r="F51" s="9" t="n">
        <f aca="false">E51/D51</f>
        <v>0.2736</v>
      </c>
      <c r="G51" s="10" t="n">
        <f aca="false">(F51-$B$5)*100</f>
        <v>3.46</v>
      </c>
    </row>
    <row r="52" customFormat="false" ht="15" hidden="false" customHeight="false" outlineLevel="0" collapsed="false">
      <c r="A52" s="7" t="s">
        <v>89</v>
      </c>
      <c r="B52" s="7" t="s">
        <v>18</v>
      </c>
      <c r="C52" s="7" t="s">
        <v>92</v>
      </c>
      <c r="D52" s="8" t="n">
        <v>5000</v>
      </c>
      <c r="E52" s="8" t="n">
        <v>860</v>
      </c>
      <c r="F52" s="9" t="n">
        <f aca="false">E52/D52</f>
        <v>0.172</v>
      </c>
      <c r="G52" s="10" t="n">
        <f aca="false">(F52-$B$5)*100</f>
        <v>-6.7</v>
      </c>
    </row>
    <row r="53" customFormat="false" ht="15" hidden="false" customHeight="false" outlineLevel="0" collapsed="false">
      <c r="A53" s="7" t="s">
        <v>89</v>
      </c>
      <c r="B53" s="7" t="s">
        <v>20</v>
      </c>
      <c r="C53" s="7" t="s">
        <v>93</v>
      </c>
      <c r="D53" s="8" t="n">
        <v>5000</v>
      </c>
      <c r="E53" s="8" t="n">
        <v>423</v>
      </c>
      <c r="F53" s="9" t="n">
        <f aca="false">E53/D53</f>
        <v>0.0846</v>
      </c>
      <c r="G53" s="10" t="n">
        <f aca="false">(F53-$B$5)*100</f>
        <v>-15.44</v>
      </c>
    </row>
    <row r="55" customFormat="false" ht="15" hidden="false" customHeight="false" outlineLevel="0" collapsed="false">
      <c r="A55" s="2" t="s">
        <v>94</v>
      </c>
      <c r="D55" s="11" t="n">
        <f aca="false">SUM(D8:D53)/$B$3</f>
        <v>11</v>
      </c>
      <c r="E55" s="4" t="s">
        <v>95</v>
      </c>
      <c r="F55" s="12" t="n">
        <v>11</v>
      </c>
      <c r="G55" s="2" t="str">
        <f aca="false">IF(D55=F55,"OK","CHECK")</f>
        <v>OK</v>
      </c>
    </row>
  </sheetData>
  <autoFilter ref="A7:G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4" t="s">
        <v>97</v>
      </c>
    </row>
    <row r="4" customFormat="false" ht="15" hidden="false" customHeight="false" outlineLevel="0" collapsed="false">
      <c r="A4" s="6" t="s">
        <v>98</v>
      </c>
      <c r="B4" s="6" t="s">
        <v>99</v>
      </c>
      <c r="C4" s="6" t="s">
        <v>100</v>
      </c>
      <c r="D4" s="6" t="s">
        <v>101</v>
      </c>
    </row>
    <row r="5" customFormat="false" ht="15" hidden="false" customHeight="false" outlineLevel="0" collapsed="false">
      <c r="A5" s="7" t="s">
        <v>102</v>
      </c>
      <c r="B5" s="13" t="n">
        <v>2879</v>
      </c>
      <c r="C5" s="13" t="n">
        <v>3017</v>
      </c>
      <c r="D5" s="14" t="n">
        <f aca="false">C5-B5</f>
        <v>138</v>
      </c>
    </row>
    <row r="6" customFormat="false" ht="15" hidden="false" customHeight="false" outlineLevel="0" collapsed="false">
      <c r="A6" s="7" t="s">
        <v>103</v>
      </c>
      <c r="B6" s="13" t="n">
        <v>165</v>
      </c>
      <c r="C6" s="13" t="n">
        <v>27</v>
      </c>
      <c r="D6" s="14" t="n">
        <f aca="false">C6-B6</f>
        <v>-138</v>
      </c>
    </row>
    <row r="7" customFormat="false" ht="15" hidden="false" customHeight="false" outlineLevel="0" collapsed="false">
      <c r="A7" s="7" t="s">
        <v>104</v>
      </c>
      <c r="B7" s="13" t="n">
        <v>302</v>
      </c>
      <c r="C7" s="13" t="n">
        <v>41</v>
      </c>
      <c r="D7" s="14" t="n">
        <f aca="false">C7-B7</f>
        <v>-261</v>
      </c>
    </row>
    <row r="8" customFormat="false" ht="15" hidden="false" customHeight="false" outlineLevel="0" collapsed="false">
      <c r="A8" s="7" t="s">
        <v>105</v>
      </c>
      <c r="B8" s="13" t="n">
        <v>654</v>
      </c>
      <c r="C8" s="13" t="n">
        <v>915</v>
      </c>
      <c r="D8" s="14" t="n">
        <f aca="false">C8-B8</f>
        <v>261</v>
      </c>
    </row>
    <row r="9" customFormat="false" ht="15" hidden="false" customHeight="false" outlineLevel="0" collapsed="false">
      <c r="A9" s="7" t="s">
        <v>106</v>
      </c>
      <c r="B9" s="15" t="n">
        <f aca="false">SUM(B5:B8)</f>
        <v>4000</v>
      </c>
      <c r="C9" s="15" t="n">
        <f aca="false">SUM(C5:C8)</f>
        <v>4000</v>
      </c>
      <c r="D9" s="15" t="n">
        <f aca="false">C9-B9</f>
        <v>0</v>
      </c>
    </row>
    <row r="10" customFormat="false" ht="15" hidden="false" customHeight="false" outlineLevel="0" collapsed="false">
      <c r="A10" s="7" t="s">
        <v>107</v>
      </c>
      <c r="B10" s="9" t="n">
        <f aca="false">(B5+B8)/B9</f>
        <v>0.88325</v>
      </c>
      <c r="C10" s="9" t="n">
        <f aca="false">(C5+C8)/C9</f>
        <v>0.983</v>
      </c>
      <c r="D10" s="9" t="n">
        <f aca="false">C10-B10</f>
        <v>0.09975</v>
      </c>
    </row>
    <row r="11" customFormat="false" ht="15" hidden="false" customHeight="false" outlineLevel="0" collapsed="false">
      <c r="A11" s="7" t="s">
        <v>108</v>
      </c>
      <c r="B11" s="9" t="n">
        <f aca="false">B8/(B8+B6)</f>
        <v>0.798534798534799</v>
      </c>
      <c r="C11" s="9" t="n">
        <f aca="false">C8/(C8+C6)</f>
        <v>0.971337579617834</v>
      </c>
      <c r="D11" s="9" t="n">
        <f aca="false">C11-B11</f>
        <v>0.172802781083036</v>
      </c>
    </row>
    <row r="12" customFormat="false" ht="15" hidden="false" customHeight="false" outlineLevel="0" collapsed="false">
      <c r="A12" s="7" t="s">
        <v>109</v>
      </c>
      <c r="B12" s="9" t="n">
        <f aca="false">B8/(B8+B7)</f>
        <v>0.684100418410042</v>
      </c>
      <c r="C12" s="9" t="n">
        <f aca="false">C8/(C8+C7)</f>
        <v>0.957112970711297</v>
      </c>
      <c r="D12" s="9" t="n">
        <f aca="false">C12-B12</f>
        <v>0.273012552301255</v>
      </c>
    </row>
    <row r="13" customFormat="false" ht="15" hidden="false" customHeight="false" outlineLevel="0" collapsed="false">
      <c r="A13" s="7" t="s">
        <v>110</v>
      </c>
      <c r="B13" s="9" t="n">
        <f aca="false">2*B11*B12/(B11+B12)</f>
        <v>0.736901408450704</v>
      </c>
      <c r="C13" s="9" t="n">
        <f aca="false">2*C11*C12/(C11+C12)</f>
        <v>0.964172813487882</v>
      </c>
      <c r="D13" s="9" t="n">
        <f aca="false">C13-B13</f>
        <v>0.227271405037178</v>
      </c>
    </row>
    <row r="14" customFormat="false" ht="15" hidden="false" customHeight="false" outlineLevel="0" collapsed="false">
      <c r="A14" s="7" t="s">
        <v>111</v>
      </c>
      <c r="B14" s="16" t="n">
        <v>0.941</v>
      </c>
      <c r="C14" s="16" t="n">
        <v>0.998</v>
      </c>
      <c r="D14" s="17" t="n">
        <f aca="false">C14-B14</f>
        <v>0.0570000000000001</v>
      </c>
    </row>
    <row r="15" customFormat="false" ht="15" hidden="false" customHeight="false" outlineLevel="0" collapsed="false">
      <c r="A15" s="7" t="s">
        <v>112</v>
      </c>
      <c r="B15" s="9" t="n">
        <f aca="false">(B5+B6)/B9</f>
        <v>0.761</v>
      </c>
      <c r="C15" s="9" t="n">
        <f aca="false">(C5+C6)/C9</f>
        <v>0.761</v>
      </c>
      <c r="D15" s="9" t="n">
        <f aca="false">C15-B15</f>
        <v>0</v>
      </c>
    </row>
    <row r="16" customFormat="false" ht="15" hidden="false" customHeight="false" outlineLevel="0" collapsed="false">
      <c r="A16" s="7" t="s">
        <v>113</v>
      </c>
      <c r="B16" s="18" t="n">
        <f aca="false">(B10-B15)*100</f>
        <v>12.225</v>
      </c>
      <c r="C16" s="18" t="n">
        <f aca="false">(C10-C15)*100</f>
        <v>22.2</v>
      </c>
      <c r="D16" s="18" t="n">
        <f aca="false">C16-B16</f>
        <v>9.975</v>
      </c>
    </row>
    <row r="17" customFormat="false" ht="15" hidden="false" customHeight="false" outlineLevel="0" collapsed="false">
      <c r="A17" s="4" t="s">
        <v>114</v>
      </c>
    </row>
    <row r="19" customFormat="false" ht="15" hidden="false" customHeight="false" outlineLevel="0" collapsed="false">
      <c r="A19" s="2" t="s">
        <v>115</v>
      </c>
    </row>
    <row r="20" customFormat="false" ht="15" hidden="false" customHeight="false" outlineLevel="0" collapsed="false">
      <c r="A20" s="6" t="s">
        <v>116</v>
      </c>
      <c r="B20" s="6" t="s">
        <v>107</v>
      </c>
      <c r="C20" s="6" t="s">
        <v>108</v>
      </c>
      <c r="D20" s="6" t="s">
        <v>109</v>
      </c>
    </row>
    <row r="21" customFormat="false" ht="15" hidden="false" customHeight="false" outlineLevel="0" collapsed="false">
      <c r="A21" s="19" t="n">
        <v>0.3</v>
      </c>
      <c r="B21" s="20" t="n">
        <v>0.871</v>
      </c>
      <c r="C21" s="20" t="n">
        <v>0.687</v>
      </c>
      <c r="D21" s="20" t="n">
        <v>0.841</v>
      </c>
    </row>
    <row r="22" customFormat="false" ht="15" hidden="false" customHeight="false" outlineLevel="0" collapsed="false">
      <c r="A22" s="19" t="n">
        <v>0.4</v>
      </c>
      <c r="B22" s="20" t="n">
        <v>0.882</v>
      </c>
      <c r="C22" s="20" t="n">
        <v>0.746</v>
      </c>
      <c r="D22" s="20" t="n">
        <v>0.769</v>
      </c>
    </row>
    <row r="23" customFormat="false" ht="15" hidden="false" customHeight="false" outlineLevel="0" collapsed="false">
      <c r="A23" s="19" t="n">
        <v>0.5</v>
      </c>
      <c r="B23" s="20" t="n">
        <v>0.883</v>
      </c>
      <c r="C23" s="20" t="n">
        <v>0.799</v>
      </c>
      <c r="D23" s="20" t="n">
        <v>0.684</v>
      </c>
    </row>
    <row r="24" customFormat="false" ht="15" hidden="false" customHeight="false" outlineLevel="0" collapsed="false">
      <c r="A24" s="4" t="s">
        <v>117</v>
      </c>
      <c r="B24" s="2" t="str">
        <f aca="false">IF(AND(ABS(B23-B10)&lt;0.0005,ABS(C23-B11)&lt;0.0005,ABS(D23-B12)&lt;0.0005),"OK","CHECK")</f>
        <v>OK</v>
      </c>
    </row>
    <row r="26" customFormat="false" ht="15" hidden="false" customHeight="false" outlineLevel="0" collapsed="false">
      <c r="A26" s="2" t="s">
        <v>118</v>
      </c>
    </row>
    <row r="27" customFormat="false" ht="15" hidden="false" customHeight="false" outlineLevel="0" collapsed="false">
      <c r="A27" s="6" t="s">
        <v>6</v>
      </c>
      <c r="B27" s="6" t="s">
        <v>119</v>
      </c>
      <c r="C27" s="6" t="s">
        <v>120</v>
      </c>
      <c r="D27" s="6" t="s">
        <v>121</v>
      </c>
      <c r="E27" s="4" t="s">
        <v>122</v>
      </c>
    </row>
    <row r="28" customFormat="false" ht="15" hidden="false" customHeight="false" outlineLevel="0" collapsed="false">
      <c r="A28" s="7" t="s">
        <v>123</v>
      </c>
      <c r="B28" s="21" t="n">
        <v>-2.37</v>
      </c>
      <c r="C28" s="7" t="str">
        <f aca="false">IF(B28&gt;0,"Approval","Rejection")</f>
        <v>Rejection</v>
      </c>
      <c r="D28" s="14" t="n">
        <f aca="false">RANK(ABS(B28),$E$28:$E$40)</f>
        <v>1</v>
      </c>
      <c r="E28" s="22" t="n">
        <f aca="false">ABS(B28)</f>
        <v>2.37</v>
      </c>
    </row>
    <row r="29" customFormat="false" ht="15" hidden="false" customHeight="false" outlineLevel="0" collapsed="false">
      <c r="A29" s="7" t="s">
        <v>124</v>
      </c>
      <c r="B29" s="21" t="n">
        <v>-1.27</v>
      </c>
      <c r="C29" s="7" t="str">
        <f aca="false">IF(B29&gt;0,"Approval","Rejection")</f>
        <v>Rejection</v>
      </c>
      <c r="D29" s="14" t="n">
        <f aca="false">RANK(ABS(B29),$E$28:$E$40)</f>
        <v>3</v>
      </c>
      <c r="E29" s="22" t="n">
        <f aca="false">ABS(B29)</f>
        <v>1.27</v>
      </c>
    </row>
    <row r="30" customFormat="false" ht="15" hidden="false" customHeight="false" outlineLevel="0" collapsed="false">
      <c r="A30" s="7" t="s">
        <v>125</v>
      </c>
      <c r="B30" s="21" t="n">
        <v>-0.61</v>
      </c>
      <c r="C30" s="7" t="str">
        <f aca="false">IF(B30&gt;0,"Approval","Rejection")</f>
        <v>Rejection</v>
      </c>
      <c r="D30" s="14" t="n">
        <f aca="false">RANK(ABS(B30),$E$28:$E$40)</f>
        <v>4</v>
      </c>
      <c r="E30" s="22" t="n">
        <f aca="false">ABS(B30)</f>
        <v>0.61</v>
      </c>
    </row>
    <row r="31" customFormat="false" ht="15" hidden="false" customHeight="false" outlineLevel="0" collapsed="false">
      <c r="A31" s="7" t="s">
        <v>126</v>
      </c>
      <c r="B31" s="21" t="n">
        <v>-0.2</v>
      </c>
      <c r="C31" s="7" t="str">
        <f aca="false">IF(B31&gt;0,"Approval","Rejection")</f>
        <v>Rejection</v>
      </c>
      <c r="D31" s="14" t="n">
        <f aca="false">RANK(ABS(B31),$E$28:$E$40)</f>
        <v>7</v>
      </c>
      <c r="E31" s="22" t="n">
        <f aca="false">ABS(B31)</f>
        <v>0.2</v>
      </c>
    </row>
    <row r="32" customFormat="false" ht="15" hidden="false" customHeight="false" outlineLevel="0" collapsed="false">
      <c r="A32" s="7" t="s">
        <v>127</v>
      </c>
      <c r="B32" s="21" t="n">
        <v>-0.18</v>
      </c>
      <c r="C32" s="7" t="str">
        <f aca="false">IF(B32&gt;0,"Approval","Rejection")</f>
        <v>Rejection</v>
      </c>
      <c r="D32" s="14" t="n">
        <f aca="false">RANK(ABS(B32),$E$28:$E$40)</f>
        <v>8</v>
      </c>
      <c r="E32" s="22" t="n">
        <f aca="false">ABS(B32)</f>
        <v>0.18</v>
      </c>
    </row>
    <row r="33" customFormat="false" ht="15" hidden="false" customHeight="false" outlineLevel="0" collapsed="false">
      <c r="A33" s="7" t="s">
        <v>128</v>
      </c>
      <c r="B33" s="21" t="n">
        <v>-0.16</v>
      </c>
      <c r="C33" s="7" t="str">
        <f aca="false">IF(B33&gt;0,"Approval","Rejection")</f>
        <v>Rejection</v>
      </c>
      <c r="D33" s="14" t="n">
        <f aca="false">RANK(ABS(B33),$E$28:$E$40)</f>
        <v>9</v>
      </c>
      <c r="E33" s="22" t="n">
        <f aca="false">ABS(B33)</f>
        <v>0.16</v>
      </c>
    </row>
    <row r="34" customFormat="false" ht="15" hidden="false" customHeight="false" outlineLevel="0" collapsed="false">
      <c r="A34" s="7" t="s">
        <v>129</v>
      </c>
      <c r="B34" s="21" t="n">
        <v>-0.04</v>
      </c>
      <c r="C34" s="7" t="str">
        <f aca="false">IF(B34&gt;0,"Approval","Rejection")</f>
        <v>Rejection</v>
      </c>
      <c r="D34" s="14" t="n">
        <f aca="false">RANK(ABS(B34),$E$28:$E$40)</f>
        <v>11</v>
      </c>
      <c r="E34" s="22" t="n">
        <f aca="false">ABS(B34)</f>
        <v>0.04</v>
      </c>
    </row>
    <row r="35" customFormat="false" ht="15" hidden="false" customHeight="false" outlineLevel="0" collapsed="false">
      <c r="A35" s="7" t="s">
        <v>130</v>
      </c>
      <c r="B35" s="21" t="n">
        <v>0.01</v>
      </c>
      <c r="C35" s="7" t="str">
        <f aca="false">IF(B35&gt;0,"Approval","Rejection")</f>
        <v>Approval</v>
      </c>
      <c r="D35" s="14" t="n">
        <f aca="false">RANK(ABS(B35),$E$28:$E$40)</f>
        <v>13</v>
      </c>
      <c r="E35" s="22" t="n">
        <f aca="false">ABS(B35)</f>
        <v>0.01</v>
      </c>
    </row>
    <row r="36" customFormat="false" ht="15" hidden="false" customHeight="false" outlineLevel="0" collapsed="false">
      <c r="A36" s="7" t="s">
        <v>131</v>
      </c>
      <c r="B36" s="21" t="n">
        <v>0.03</v>
      </c>
      <c r="C36" s="7" t="str">
        <f aca="false">IF(B36&gt;0,"Approval","Rejection")</f>
        <v>Approval</v>
      </c>
      <c r="D36" s="14" t="n">
        <f aca="false">RANK(ABS(B36),$E$28:$E$40)</f>
        <v>12</v>
      </c>
      <c r="E36" s="22" t="n">
        <f aca="false">ABS(B36)</f>
        <v>0.03</v>
      </c>
    </row>
    <row r="37" customFormat="false" ht="15" hidden="false" customHeight="false" outlineLevel="0" collapsed="false">
      <c r="A37" s="7" t="s">
        <v>132</v>
      </c>
      <c r="B37" s="21" t="n">
        <v>0.05</v>
      </c>
      <c r="C37" s="7" t="str">
        <f aca="false">IF(B37&gt;0,"Approval","Rejection")</f>
        <v>Approval</v>
      </c>
      <c r="D37" s="14" t="n">
        <f aca="false">RANK(ABS(B37),$E$28:$E$40)</f>
        <v>10</v>
      </c>
      <c r="E37" s="22" t="n">
        <f aca="false">ABS(B37)</f>
        <v>0.05</v>
      </c>
    </row>
    <row r="38" customFormat="false" ht="15" hidden="false" customHeight="false" outlineLevel="0" collapsed="false">
      <c r="A38" s="7" t="s">
        <v>133</v>
      </c>
      <c r="B38" s="21" t="n">
        <v>0.37</v>
      </c>
      <c r="C38" s="7" t="str">
        <f aca="false">IF(B38&gt;0,"Approval","Rejection")</f>
        <v>Approval</v>
      </c>
      <c r="D38" s="14" t="n">
        <f aca="false">RANK(ABS(B38),$E$28:$E$40)</f>
        <v>6</v>
      </c>
      <c r="E38" s="22" t="n">
        <f aca="false">ABS(B38)</f>
        <v>0.37</v>
      </c>
    </row>
    <row r="39" customFormat="false" ht="15" hidden="false" customHeight="false" outlineLevel="0" collapsed="false">
      <c r="A39" s="7" t="s">
        <v>134</v>
      </c>
      <c r="B39" s="21" t="n">
        <v>0.54</v>
      </c>
      <c r="C39" s="7" t="str">
        <f aca="false">IF(B39&gt;0,"Approval","Rejection")</f>
        <v>Approval</v>
      </c>
      <c r="D39" s="14" t="n">
        <f aca="false">RANK(ABS(B39),$E$28:$E$40)</f>
        <v>5</v>
      </c>
      <c r="E39" s="22" t="n">
        <f aca="false">ABS(B39)</f>
        <v>0.54</v>
      </c>
    </row>
    <row r="40" customFormat="false" ht="15" hidden="false" customHeight="false" outlineLevel="0" collapsed="false">
      <c r="A40" s="7" t="s">
        <v>135</v>
      </c>
      <c r="B40" s="21" t="n">
        <v>1.37</v>
      </c>
      <c r="C40" s="7" t="str">
        <f aca="false">IF(B40&gt;0,"Approval","Rejection")</f>
        <v>Approval</v>
      </c>
      <c r="D40" s="14" t="n">
        <f aca="false">RANK(ABS(B40),$E$28:$E$40)</f>
        <v>2</v>
      </c>
      <c r="E40" s="22" t="n">
        <f aca="false">ABS(B40)</f>
        <v>1.37</v>
      </c>
    </row>
    <row r="41" customFormat="false" ht="15" hidden="false" customHeight="false" outlineLevel="0" collapsed="false">
      <c r="A41" s="4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2026-10-07T21:00:16Z</dcterms:created>
  <dc:creator>openpyxl</dc:creator>
  <dc:description/>
  <dc:language>en-US</dc:language>
  <cp:lastModifiedBy/>
  <dcterms:modified xsi:type="dcterms:W3CDTF">2026-10-07T21:00:16Z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